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7A2D7E96-6E34-419A-AE5F-296B3A7E7977}"/>
  <workbookPr/>
  <bookViews>
    <workbookView xWindow="0" yWindow="0" windowWidth="11670" windowHeight="5090"/>
  </bookViews>
  <sheets>
    <sheet name="Home" sheetId="1" r:id="rId1"/>
    <sheet name="Purchase" sheetId="2" r:id="rId2"/>
    <sheet name="Sale" sheetId="3" r:id="rId3"/>
    <sheet name="Stock" sheetId="4" r:id="rId4"/>
  </sheets>
  <definedNames>
    <definedName name="_xlnm._FilterDatabase" localSheetId="1" hidden="1">Purchase!$D$3:$D$12</definedName>
    <definedName name="_xlnm.Criteria" localSheetId="3">Stock!$G$3:$G$4</definedName>
    <definedName name="_xlnm.Extract" localSheetId="3">Stock!$B$3</definedName>
  </definedName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"/>
  <c r="D4" i="4"/>
  <c r="D5"/>
  <c r="D6"/>
  <c r="D7"/>
  <c r="D8"/>
  <c r="D9"/>
  <c r="D10"/>
  <c r="D11"/>
  <c r="D12"/>
  <c r="D13"/>
  <c r="C4"/>
  <c r="C5"/>
  <c r="C6"/>
  <c r="C7"/>
  <c r="C8"/>
  <c r="C9"/>
  <c r="C10"/>
  <c r="C11"/>
  <c r="C12"/>
  <c r="C13"/>
  <c r="G4"/>
  <c r="E11" l="1"/>
  <c r="E10"/>
  <c r="E6"/>
  <c r="E13"/>
  <c r="E9"/>
  <c r="E5"/>
  <c r="E7"/>
  <c r="E12"/>
  <c r="E8"/>
  <c r="E4"/>
</calcChain>
</file>

<file path=xl/sharedStrings.xml><?xml version="1.0" encoding="utf-8"?>
<sst xmlns="http://schemas.openxmlformats.org/spreadsheetml/2006/main" count="45" uniqueCount="28">
  <si>
    <t>Entry Type:</t>
  </si>
  <si>
    <t>Last Billed</t>
  </si>
  <si>
    <t>Bill No :</t>
  </si>
  <si>
    <t>Date :</t>
  </si>
  <si>
    <t>Item :</t>
  </si>
  <si>
    <t>Qty :</t>
  </si>
  <si>
    <t>Rate:</t>
  </si>
  <si>
    <t>Bill no</t>
  </si>
  <si>
    <t>Date</t>
  </si>
  <si>
    <t>item</t>
  </si>
  <si>
    <t>Qty</t>
  </si>
  <si>
    <t>Rate</t>
  </si>
  <si>
    <t>Purchase Entry</t>
  </si>
  <si>
    <t>Bill No</t>
  </si>
  <si>
    <t>Sales Entry</t>
  </si>
  <si>
    <t>Item</t>
  </si>
  <si>
    <t>Sales Qty</t>
  </si>
  <si>
    <t>Stock</t>
  </si>
  <si>
    <t>Purchase Qty</t>
  </si>
  <si>
    <t>mouse</t>
  </si>
  <si>
    <t>keybord</t>
  </si>
  <si>
    <t>1/11/1343</t>
  </si>
  <si>
    <t>screen</t>
  </si>
  <si>
    <t>toy</t>
  </si>
  <si>
    <t xml:space="preserve"> :</t>
  </si>
  <si>
    <t>2/30/2078</t>
  </si>
  <si>
    <t>Sale</t>
  </si>
  <si>
    <t xml:space="preserve">screen 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</si>
</sst>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26"/>
      <color theme="7"/>
      <name val="Calibri"/>
      <family val="2"/>
      <scheme val="minor"/>
    </font>
    <font>
      <b/>
      <sz val="28"/>
      <color theme="7"/>
      <name val="Calibri"/>
      <family val="2"/>
      <scheme val="minor"/>
    </font>
    <font>
      <sz val="11"/>
      <color rgb="FFC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1" xfId="0" applyBorder="1"/>
    <xf numFmtId="14" fontId="0" fillId="0" borderId="1" xfId="0" applyNumberFormat="1" applyBorder="1"/>
    <xf numFmtId="0" fontId="0" fillId="0" borderId="1" xfId="0" applyBorder="1" applyAlignment="1">
      <alignment horizontal="right"/>
    </xf>
    <xf numFmtId="14" fontId="0" fillId="0" borderId="1" xfId="0" applyNumberFormat="1" applyBorder="1" applyAlignment="1">
      <alignment horizontal="right"/>
    </xf>
    <xf numFmtId="0" fontId="0" fillId="3" borderId="1" xfId="0" applyFill="1" applyBorder="1" applyAlignment="1">
      <alignment vertical="center"/>
    </xf>
    <xf numFmtId="0" fontId="0" fillId="3" borderId="1" xfId="0" applyFill="1" applyBorder="1"/>
    <xf numFmtId="16" fontId="0" fillId="3" borderId="0" xfId="0" applyNumberFormat="1" applyFill="1"/>
    <xf numFmtId="0" fontId="3" fillId="0" borderId="0" xfId="0" applyFont="1"/>
    <xf numFmtId="0" fontId="2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1" fillId="5" borderId="0" xfId="0" applyFont="1" applyFill="1" applyAlignment="1">
      <alignment horizontal="center"/>
    </xf>
  </cellXfs>
  <cellStyles count="1">
    <cellStyle name="Normal" xfId="0" builtinId="0"/>
  </cellStyles>
  <dxfs count="14"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tock!A1"/><Relationship Id="rId2" Type="http://schemas.openxmlformats.org/officeDocument/2006/relationships/hyperlink" Target="#Sale!A1"/><Relationship Id="rId1" Type="http://schemas.openxmlformats.org/officeDocument/2006/relationships/hyperlink" Target="#Purchase!A1"/><Relationship Id="rId4" Type="http://schemas.openxmlformats.org/officeDocument/2006/relationships/hyperlink" Target="#Home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Stock!A1"/><Relationship Id="rId2" Type="http://schemas.openxmlformats.org/officeDocument/2006/relationships/hyperlink" Target="#Sale!A1"/><Relationship Id="rId1" Type="http://schemas.openxmlformats.org/officeDocument/2006/relationships/hyperlink" Target="#Purchase!A1"/><Relationship Id="rId4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Stock!A1"/><Relationship Id="rId2" Type="http://schemas.openxmlformats.org/officeDocument/2006/relationships/hyperlink" Target="#Sale!A1"/><Relationship Id="rId1" Type="http://schemas.openxmlformats.org/officeDocument/2006/relationships/hyperlink" Target="#Purchase!A1"/><Relationship Id="rId4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Stock!A1"/><Relationship Id="rId2" Type="http://schemas.openxmlformats.org/officeDocument/2006/relationships/hyperlink" Target="#Sale!A1"/><Relationship Id="rId1" Type="http://schemas.openxmlformats.org/officeDocument/2006/relationships/hyperlink" Target="#Purchase!A1"/><Relationship Id="rId4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9525</xdr:rowOff>
    </xdr:from>
    <xdr:to>
      <xdr:col>2</xdr:col>
      <xdr:colOff>9525</xdr:colOff>
      <xdr:row>12</xdr:row>
      <xdr:rowOff>76200</xdr:rowOff>
    </xdr:to>
    <xdr:sp macro="[0]!purchase" textlink="">
      <xdr:nvSpPr>
        <xdr:cNvPr id="2" name="Rounded Rectangle 1"/>
        <xdr:cNvSpPr/>
      </xdr:nvSpPr>
      <xdr:spPr>
        <a:xfrm>
          <a:off x="371475" y="2105025"/>
          <a:ext cx="981075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000"/>
            <a:t>Purchase Entry</a:t>
          </a:r>
        </a:p>
      </xdr:txBody>
    </xdr:sp>
    <xdr:clientData/>
  </xdr:twoCellAnchor>
  <xdr:twoCellAnchor>
    <xdr:from>
      <xdr:col>3</xdr:col>
      <xdr:colOff>19050</xdr:colOff>
      <xdr:row>11</xdr:row>
      <xdr:rowOff>9525</xdr:rowOff>
    </xdr:from>
    <xdr:to>
      <xdr:col>3</xdr:col>
      <xdr:colOff>838200</xdr:colOff>
      <xdr:row>12</xdr:row>
      <xdr:rowOff>76200</xdr:rowOff>
    </xdr:to>
    <xdr:sp macro="[0]!s" textlink="">
      <xdr:nvSpPr>
        <xdr:cNvPr id="3" name="Rounded Rectangle 2"/>
        <xdr:cNvSpPr/>
      </xdr:nvSpPr>
      <xdr:spPr>
        <a:xfrm>
          <a:off x="1676400" y="2105025"/>
          <a:ext cx="819150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Sale Entry</a:t>
          </a:r>
        </a:p>
      </xdr:txBody>
    </xdr:sp>
    <xdr:clientData/>
  </xdr:twoCellAnchor>
  <xdr:twoCellAnchor>
    <xdr:from>
      <xdr:col>5</xdr:col>
      <xdr:colOff>514349</xdr:colOff>
      <xdr:row>1</xdr:row>
      <xdr:rowOff>38100</xdr:rowOff>
    </xdr:from>
    <xdr:to>
      <xdr:col>7</xdr:col>
      <xdr:colOff>323850</xdr:colOff>
      <xdr:row>2</xdr:row>
      <xdr:rowOff>114300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3648074" y="228600"/>
          <a:ext cx="1028701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Purchase info</a:t>
          </a:r>
        </a:p>
      </xdr:txBody>
    </xdr:sp>
    <xdr:clientData/>
  </xdr:twoCellAnchor>
  <xdr:twoCellAnchor>
    <xdr:from>
      <xdr:col>5</xdr:col>
      <xdr:colOff>542925</xdr:colOff>
      <xdr:row>3</xdr:row>
      <xdr:rowOff>104775</xdr:rowOff>
    </xdr:from>
    <xdr:to>
      <xdr:col>7</xdr:col>
      <xdr:colOff>371475</xdr:colOff>
      <xdr:row>4</xdr:row>
      <xdr:rowOff>180975</xdr:rowOff>
    </xdr:to>
    <xdr:sp macro="" textlink="">
      <xdr:nvSpPr>
        <xdr:cNvPr id="5" name="Rounded Rectangle 4">
          <a:hlinkClick xmlns:r="http://schemas.openxmlformats.org/officeDocument/2006/relationships" r:id="rId2"/>
        </xdr:cNvPr>
        <xdr:cNvSpPr/>
      </xdr:nvSpPr>
      <xdr:spPr>
        <a:xfrm>
          <a:off x="3676650" y="676275"/>
          <a:ext cx="1047750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Sales info</a:t>
          </a:r>
        </a:p>
      </xdr:txBody>
    </xdr:sp>
    <xdr:clientData/>
  </xdr:twoCellAnchor>
  <xdr:twoCellAnchor>
    <xdr:from>
      <xdr:col>5</xdr:col>
      <xdr:colOff>523875</xdr:colOff>
      <xdr:row>6</xdr:row>
      <xdr:rowOff>19050</xdr:rowOff>
    </xdr:from>
    <xdr:to>
      <xdr:col>7</xdr:col>
      <xdr:colOff>352425</xdr:colOff>
      <xdr:row>7</xdr:row>
      <xdr:rowOff>95250</xdr:rowOff>
    </xdr:to>
    <xdr:sp macro="" textlink="">
      <xdr:nvSpPr>
        <xdr:cNvPr id="6" name="Rounded Rectangle 5">
          <a:hlinkClick xmlns:r="http://schemas.openxmlformats.org/officeDocument/2006/relationships" r:id="rId3"/>
        </xdr:cNvPr>
        <xdr:cNvSpPr/>
      </xdr:nvSpPr>
      <xdr:spPr>
        <a:xfrm>
          <a:off x="3657600" y="1162050"/>
          <a:ext cx="1047750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Stockinfo</a:t>
          </a:r>
        </a:p>
      </xdr:txBody>
    </xdr:sp>
    <xdr:clientData/>
  </xdr:twoCellAnchor>
  <xdr:twoCellAnchor>
    <xdr:from>
      <xdr:col>6</xdr:col>
      <xdr:colOff>19050</xdr:colOff>
      <xdr:row>8</xdr:row>
      <xdr:rowOff>76200</xdr:rowOff>
    </xdr:from>
    <xdr:to>
      <xdr:col>7</xdr:col>
      <xdr:colOff>247650</xdr:colOff>
      <xdr:row>10</xdr:row>
      <xdr:rowOff>123825</xdr:rowOff>
    </xdr:to>
    <xdr:sp macro="" textlink="">
      <xdr:nvSpPr>
        <xdr:cNvPr id="7" name="Oval 6">
          <a:hlinkClick xmlns:r="http://schemas.openxmlformats.org/officeDocument/2006/relationships" r:id="rId4"/>
        </xdr:cNvPr>
        <xdr:cNvSpPr/>
      </xdr:nvSpPr>
      <xdr:spPr>
        <a:xfrm>
          <a:off x="3762375" y="1600200"/>
          <a:ext cx="838200" cy="4286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HOME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8</xdr:col>
      <xdr:colOff>419101</xdr:colOff>
      <xdr:row>3</xdr:row>
      <xdr:rowOff>76200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505325" y="381000"/>
          <a:ext cx="1028701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Purchase info</a:t>
          </a:r>
        </a:p>
      </xdr:txBody>
    </xdr:sp>
    <xdr:clientData/>
  </xdr:twoCellAnchor>
  <xdr:twoCellAnchor>
    <xdr:from>
      <xdr:col>7</xdr:col>
      <xdr:colOff>28576</xdr:colOff>
      <xdr:row>4</xdr:row>
      <xdr:rowOff>66675</xdr:rowOff>
    </xdr:from>
    <xdr:to>
      <xdr:col>8</xdr:col>
      <xdr:colOff>466726</xdr:colOff>
      <xdr:row>5</xdr:row>
      <xdr:rowOff>142875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4533901" y="828675"/>
          <a:ext cx="1047750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Sales info</a:t>
          </a:r>
        </a:p>
      </xdr:txBody>
    </xdr:sp>
    <xdr:clientData/>
  </xdr:twoCellAnchor>
  <xdr:twoCellAnchor>
    <xdr:from>
      <xdr:col>7</xdr:col>
      <xdr:colOff>9526</xdr:colOff>
      <xdr:row>6</xdr:row>
      <xdr:rowOff>171450</xdr:rowOff>
    </xdr:from>
    <xdr:to>
      <xdr:col>8</xdr:col>
      <xdr:colOff>447676</xdr:colOff>
      <xdr:row>8</xdr:row>
      <xdr:rowOff>57150</xdr:rowOff>
    </xdr:to>
    <xdr:sp macro="" textlink="">
      <xdr:nvSpPr>
        <xdr:cNvPr id="4" name="Rounded Rectangle 3">
          <a:hlinkClick xmlns:r="http://schemas.openxmlformats.org/officeDocument/2006/relationships" r:id="rId3"/>
        </xdr:cNvPr>
        <xdr:cNvSpPr/>
      </xdr:nvSpPr>
      <xdr:spPr>
        <a:xfrm>
          <a:off x="4514851" y="1314450"/>
          <a:ext cx="1047750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Stockinfo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228600</xdr:colOff>
      <xdr:row>12</xdr:row>
      <xdr:rowOff>47625</xdr:rowOff>
    </xdr:to>
    <xdr:sp macro="" textlink="">
      <xdr:nvSpPr>
        <xdr:cNvPr id="5" name="Oval 4">
          <a:hlinkClick xmlns:r="http://schemas.openxmlformats.org/officeDocument/2006/relationships" r:id="rId4"/>
        </xdr:cNvPr>
        <xdr:cNvSpPr/>
      </xdr:nvSpPr>
      <xdr:spPr>
        <a:xfrm>
          <a:off x="4505325" y="1905000"/>
          <a:ext cx="838200" cy="4286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0</xdr:rowOff>
    </xdr:from>
    <xdr:to>
      <xdr:col>8</xdr:col>
      <xdr:colOff>419101</xdr:colOff>
      <xdr:row>4</xdr:row>
      <xdr:rowOff>76200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352925" y="571500"/>
          <a:ext cx="1028701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Purchase info</a:t>
          </a:r>
        </a:p>
      </xdr:txBody>
    </xdr:sp>
    <xdr:clientData/>
  </xdr:twoCellAnchor>
  <xdr:twoCellAnchor>
    <xdr:from>
      <xdr:col>7</xdr:col>
      <xdr:colOff>28576</xdr:colOff>
      <xdr:row>5</xdr:row>
      <xdr:rowOff>66675</xdr:rowOff>
    </xdr:from>
    <xdr:to>
      <xdr:col>8</xdr:col>
      <xdr:colOff>466726</xdr:colOff>
      <xdr:row>6</xdr:row>
      <xdr:rowOff>142875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4381501" y="1019175"/>
          <a:ext cx="1047750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Sales info</a:t>
          </a:r>
        </a:p>
      </xdr:txBody>
    </xdr:sp>
    <xdr:clientData/>
  </xdr:twoCellAnchor>
  <xdr:twoCellAnchor>
    <xdr:from>
      <xdr:col>7</xdr:col>
      <xdr:colOff>9526</xdr:colOff>
      <xdr:row>7</xdr:row>
      <xdr:rowOff>171450</xdr:rowOff>
    </xdr:from>
    <xdr:to>
      <xdr:col>8</xdr:col>
      <xdr:colOff>447676</xdr:colOff>
      <xdr:row>9</xdr:row>
      <xdr:rowOff>57150</xdr:rowOff>
    </xdr:to>
    <xdr:sp macro="" textlink="">
      <xdr:nvSpPr>
        <xdr:cNvPr id="4" name="Rounded Rectangle 3">
          <a:hlinkClick xmlns:r="http://schemas.openxmlformats.org/officeDocument/2006/relationships" r:id="rId3"/>
        </xdr:cNvPr>
        <xdr:cNvSpPr/>
      </xdr:nvSpPr>
      <xdr:spPr>
        <a:xfrm>
          <a:off x="4362451" y="1504950"/>
          <a:ext cx="1047750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Stockinfo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228600</xdr:colOff>
      <xdr:row>12</xdr:row>
      <xdr:rowOff>47625</xdr:rowOff>
    </xdr:to>
    <xdr:sp macro="" textlink="">
      <xdr:nvSpPr>
        <xdr:cNvPr id="5" name="Oval 4">
          <a:hlinkClick xmlns:r="http://schemas.openxmlformats.org/officeDocument/2006/relationships" r:id="rId4"/>
        </xdr:cNvPr>
        <xdr:cNvSpPr/>
      </xdr:nvSpPr>
      <xdr:spPr>
        <a:xfrm>
          <a:off x="4352925" y="1905000"/>
          <a:ext cx="838200" cy="4286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200025</xdr:colOff>
      <xdr:row>1</xdr:row>
      <xdr:rowOff>38100</xdr:rowOff>
    </xdr:from>
    <xdr:to>
      <xdr:col>7</xdr:col>
      <xdr:colOff>409575</xdr:colOff>
      <xdr:row>2</xdr:row>
      <xdr:rowOff>104775</xdr:rowOff>
    </xdr:to>
    <xdr:sp macro="[0]!Macro6" textlink="">
      <xdr:nvSpPr>
        <xdr:cNvPr id="2" name="Rounded Rectangle 1"/>
        <xdr:cNvSpPr/>
      </xdr:nvSpPr>
      <xdr:spPr>
        <a:xfrm>
          <a:off x="3810000" y="228600"/>
          <a:ext cx="819150" cy="2571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N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Refresh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8</xdr:col>
      <xdr:colOff>419101</xdr:colOff>
      <xdr:row>5</xdr:row>
      <xdr:rowOff>76200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4219575" y="762000"/>
          <a:ext cx="1028701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Purchase info</a:t>
          </a:r>
        </a:p>
      </xdr:txBody>
    </xdr:sp>
    <xdr:clientData/>
  </xdr:twoCellAnchor>
  <xdr:twoCellAnchor>
    <xdr:from>
      <xdr:col>7</xdr:col>
      <xdr:colOff>28576</xdr:colOff>
      <xdr:row>6</xdr:row>
      <xdr:rowOff>66675</xdr:rowOff>
    </xdr:from>
    <xdr:to>
      <xdr:col>8</xdr:col>
      <xdr:colOff>466726</xdr:colOff>
      <xdr:row>7</xdr:row>
      <xdr:rowOff>142875</xdr:rowOff>
    </xdr:to>
    <xdr:sp macro="" textlink="">
      <xdr:nvSpPr>
        <xdr:cNvPr id="4" name="Rounded Rectangle 3">
          <a:hlinkClick xmlns:r="http://schemas.openxmlformats.org/officeDocument/2006/relationships" r:id="rId2"/>
        </xdr:cNvPr>
        <xdr:cNvSpPr/>
      </xdr:nvSpPr>
      <xdr:spPr>
        <a:xfrm>
          <a:off x="4248151" y="1209675"/>
          <a:ext cx="1047750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Sales info</a:t>
          </a:r>
        </a:p>
      </xdr:txBody>
    </xdr:sp>
    <xdr:clientData/>
  </xdr:twoCellAnchor>
  <xdr:twoCellAnchor>
    <xdr:from>
      <xdr:col>7</xdr:col>
      <xdr:colOff>9526</xdr:colOff>
      <xdr:row>8</xdr:row>
      <xdr:rowOff>171450</xdr:rowOff>
    </xdr:from>
    <xdr:to>
      <xdr:col>8</xdr:col>
      <xdr:colOff>447676</xdr:colOff>
      <xdr:row>10</xdr:row>
      <xdr:rowOff>57150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4229101" y="1695450"/>
          <a:ext cx="1047750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Stockinfo</a:t>
          </a:r>
        </a:p>
      </xdr:txBody>
    </xdr:sp>
    <xdr:clientData/>
  </xdr:twoCellAnchor>
  <xdr:twoCellAnchor>
    <xdr:from>
      <xdr:col>6</xdr:col>
      <xdr:colOff>0</xdr:colOff>
      <xdr:row>12</xdr:row>
      <xdr:rowOff>0</xdr:rowOff>
    </xdr:from>
    <xdr:to>
      <xdr:col>8</xdr:col>
      <xdr:colOff>228600</xdr:colOff>
      <xdr:row>14</xdr:row>
      <xdr:rowOff>47625</xdr:rowOff>
    </xdr:to>
    <xdr:sp macro="" textlink="">
      <xdr:nvSpPr>
        <xdr:cNvPr id="6" name="Oval 5">
          <a:hlinkClick xmlns:r="http://schemas.openxmlformats.org/officeDocument/2006/relationships" r:id="rId4"/>
        </xdr:cNvPr>
        <xdr:cNvSpPr/>
      </xdr:nvSpPr>
      <xdr:spPr>
        <a:xfrm>
          <a:off x="4219575" y="2286000"/>
          <a:ext cx="838200" cy="4286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HOME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B3:F12" totalsRowShown="0">
  <tableColumns count="5">
    <tableColumn id="1" name="Bill no" dataDxfId="13"/>
    <tableColumn id="2" name="Date" dataDxfId="12"/>
    <tableColumn id="3" name="item" dataDxfId="11"/>
    <tableColumn id="4" name="Qty" dataDxfId="10"/>
    <tableColumn id="5" name="Rate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B3:F9" totalsRowShown="0">
  <autoFilter ref="B3:F9"/>
  <tableColumns count="5">
    <tableColumn id="1" name="Bill No" dataDxfId="8"/>
    <tableColumn id="2" name="Date" dataDxfId="7"/>
    <tableColumn id="3" name="Item" dataDxfId="6"/>
    <tableColumn id="4" name="Qty" dataDxfId="5"/>
    <tableColumn id="5" name="Rate" dataDxfId="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B3:E13" totalsRowShown="0">
  <tableColumns count="4">
    <tableColumn id="1" name="Item" dataDxfId="3"/>
    <tableColumn id="2" name="Purchase Qty" dataDxfId="2">
      <calculatedColumnFormula>SUMIF(Table1[[#All],[item]],Table3[[#This Row],[Item]],Table1[[#All],[Qty]])</calculatedColumnFormula>
    </tableColumn>
    <tableColumn id="3" name="Sales Qty" dataDxfId="1">
      <calculatedColumnFormula>SUMIF(Table4[[#All],[Item]],Table3[[#This Row],[Item]],Table4[[#All],[Qty]])</calculatedColumnFormula>
    </tableColumn>
    <tableColumn id="4" name="Stock" dataDxfId="0">
      <calculatedColumnFormula>Table3[[#This Row],[Purchase Qty]]-Table3[[#This Row],[Sales Qty]]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B2:E9"/>
  <sheetViews>
    <sheetView tabSelected="1" workbookViewId="0">
      <selection activeCell="E8" sqref="E8"/>
    </sheetView>
  </sheetViews>
  <sheetFormatPr defaultRowHeight="14.5"/>
  <cols>
    <col min="1" max="1" width="5.54296875" customWidth="1"/>
    <col min="2" max="5" width="11.36328125" customWidth="1"/>
  </cols>
  <sheetData>
    <row r="2" spans="2:5">
      <c r="B2" s="3" t="s">
        <v>0</v>
      </c>
      <c r="D2" s="3" t="s">
        <v>26</v>
      </c>
    </row>
    <row r="3" spans="2:5">
      <c r="B3" s="1" t="s">
        <v>1</v>
      </c>
      <c r="D3" s="1">
        <v>1</v>
      </c>
    </row>
    <row r="5" spans="2:5">
      <c r="B5" s="8" t="s">
        <v>2</v>
      </c>
      <c r="C5" s="9" t="s">
        <v>24</v>
      </c>
      <c r="D5" s="4">
        <v>2</v>
      </c>
    </row>
    <row r="6" spans="2:5">
      <c r="B6" s="8" t="s">
        <v>3</v>
      </c>
      <c r="C6" s="9" t="s">
        <v>24</v>
      </c>
      <c r="D6" s="5">
        <v>43831</v>
      </c>
    </row>
    <row r="7" spans="2:5">
      <c r="B7" s="8" t="s">
        <v>4</v>
      </c>
      <c r="C7" s="9" t="s">
        <v>24</v>
      </c>
      <c r="D7" s="4" t="s">
        <v>22</v>
      </c>
    </row>
    <row r="8" spans="2:5">
      <c r="B8" s="8" t="s">
        <v>5</v>
      </c>
      <c r="C8" s="9" t="s">
        <v>24</v>
      </c>
      <c r="D8" s="4">
        <v>4</v>
      </c>
      <c r="E8" s="11" t="b">
        <f>IFERROR(IF(D2="sale",IF(VLOOKUP(D7,Stock!B3:E13,4,0)&lt;D8,"Stock NOT Available"),""),"")</f>
        <v>0</v>
      </c>
    </row>
    <row r="9" spans="2:5">
      <c r="B9" s="8" t="s">
        <v>6</v>
      </c>
      <c r="C9" s="9" t="s">
        <v>24</v>
      </c>
      <c r="D9" s="4"/>
    </row>
  </sheetData>
  <dataValidations count="1">
    <dataValidation type="list" allowBlank="1" showInputMessage="1" showErrorMessage="1" sqref="D2">
      <formula1>"Sale,Purchase"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B1:F12"/>
  <sheetViews>
    <sheetView workbookViewId="0"/>
  </sheetViews>
  <sheetFormatPr defaultRowHeight="14.5"/>
  <cols>
    <col min="3" max="3" width="12.7265625" customWidth="1"/>
  </cols>
  <sheetData>
    <row r="1" spans="2:6">
      <c r="B1" s="12" t="s">
        <v>12</v>
      </c>
      <c r="C1" s="13"/>
      <c r="D1" s="13"/>
      <c r="E1" s="13"/>
      <c r="F1" s="13"/>
    </row>
    <row r="2" spans="2:6">
      <c r="B2" s="13"/>
      <c r="C2" s="13"/>
      <c r="D2" s="13"/>
      <c r="E2" s="13"/>
      <c r="F2" s="13"/>
    </row>
    <row r="3" spans="2:6">
      <c r="B3" t="s">
        <v>7</v>
      </c>
      <c r="C3" t="s">
        <v>8</v>
      </c>
      <c r="D3" t="s">
        <v>9</v>
      </c>
      <c r="E3" t="s">
        <v>10</v>
      </c>
      <c r="F3" t="s">
        <v>11</v>
      </c>
    </row>
    <row r="4" spans="2:6">
      <c r="B4" s="4"/>
      <c r="C4" s="4"/>
      <c r="D4" s="4"/>
      <c r="E4" s="4"/>
      <c r="F4" s="4"/>
    </row>
    <row r="5" spans="2:6">
      <c r="B5" s="4">
        <v>4</v>
      </c>
      <c r="C5" s="5">
        <v>69156</v>
      </c>
      <c r="D5" s="4" t="s">
        <v>27</v>
      </c>
      <c r="E5" s="4">
        <v>100</v>
      </c>
      <c r="F5" s="4">
        <v>90</v>
      </c>
    </row>
    <row r="6" spans="2:6">
      <c r="B6" s="9">
        <v>3</v>
      </c>
      <c r="C6" s="9" t="s">
        <v>25</v>
      </c>
      <c r="D6" s="9" t="s">
        <v>19</v>
      </c>
      <c r="E6" s="9">
        <v>23</v>
      </c>
      <c r="F6" s="9">
        <v>456</v>
      </c>
    </row>
    <row r="7" spans="2:6">
      <c r="B7" s="6">
        <v>3</v>
      </c>
      <c r="C7" s="7">
        <v>69066</v>
      </c>
      <c r="D7" s="6" t="s">
        <v>23</v>
      </c>
      <c r="E7" s="6">
        <v>56</v>
      </c>
      <c r="F7" s="6">
        <v>234</v>
      </c>
    </row>
    <row r="8" spans="2:6">
      <c r="B8" s="6">
        <v>2</v>
      </c>
      <c r="C8" s="7" t="s">
        <v>21</v>
      </c>
      <c r="D8" s="6" t="s">
        <v>22</v>
      </c>
      <c r="E8" s="6">
        <v>20</v>
      </c>
      <c r="F8" s="6">
        <v>400</v>
      </c>
    </row>
    <row r="9" spans="2:6">
      <c r="B9" s="6">
        <v>1</v>
      </c>
      <c r="C9" s="7">
        <v>161836</v>
      </c>
      <c r="D9" s="6" t="s">
        <v>20</v>
      </c>
      <c r="E9" s="6">
        <v>40</v>
      </c>
      <c r="F9" s="6">
        <v>170</v>
      </c>
    </row>
    <row r="10" spans="2:6">
      <c r="B10" s="6"/>
      <c r="C10" s="7"/>
      <c r="D10" s="6"/>
      <c r="E10" s="6"/>
      <c r="F10" s="6"/>
    </row>
    <row r="11" spans="2:6">
      <c r="B11" s="4"/>
      <c r="C11" s="4"/>
      <c r="D11" s="4"/>
      <c r="E11" s="4"/>
      <c r="F11" s="4"/>
    </row>
    <row r="12" spans="2:6">
      <c r="B12" s="4"/>
      <c r="C12" s="4"/>
      <c r="D12" s="4"/>
      <c r="E12" s="4"/>
      <c r="F12" s="4"/>
    </row>
  </sheetData>
  <mergeCells count="1">
    <mergeCell ref="B1:F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dimension ref="B1:F9"/>
  <sheetViews>
    <sheetView workbookViewId="0">
      <selection activeCell="H11" sqref="H11"/>
    </sheetView>
  </sheetViews>
  <sheetFormatPr defaultRowHeight="14.5"/>
  <cols>
    <col min="3" max="3" width="10.453125" bestFit="1" customWidth="1"/>
  </cols>
  <sheetData>
    <row r="1" spans="2:6">
      <c r="B1" s="12" t="s">
        <v>14</v>
      </c>
      <c r="C1" s="13"/>
      <c r="D1" s="13"/>
      <c r="E1" s="13"/>
      <c r="F1" s="13"/>
    </row>
    <row r="2" spans="2:6">
      <c r="B2" s="13"/>
      <c r="C2" s="13"/>
      <c r="D2" s="13"/>
      <c r="E2" s="13"/>
      <c r="F2" s="13"/>
    </row>
    <row r="3" spans="2:6">
      <c r="B3" t="s">
        <v>13</v>
      </c>
      <c r="C3" t="s">
        <v>8</v>
      </c>
      <c r="D3" t="s">
        <v>15</v>
      </c>
      <c r="E3" t="s">
        <v>10</v>
      </c>
      <c r="F3" t="s">
        <v>11</v>
      </c>
    </row>
    <row r="4" spans="2:6">
      <c r="B4" s="4"/>
      <c r="C4" s="4"/>
      <c r="D4" s="4"/>
      <c r="E4" s="4"/>
      <c r="F4" s="4"/>
    </row>
    <row r="5" spans="2:6">
      <c r="B5" s="2">
        <v>1</v>
      </c>
      <c r="C5" s="10">
        <v>45385</v>
      </c>
      <c r="D5" s="2" t="s">
        <v>19</v>
      </c>
      <c r="E5" s="2">
        <v>2</v>
      </c>
      <c r="F5" s="2">
        <v>436</v>
      </c>
    </row>
    <row r="6" spans="2:6">
      <c r="B6" s="4"/>
      <c r="C6" s="5"/>
      <c r="D6" s="4"/>
      <c r="E6" s="4"/>
      <c r="F6" s="4"/>
    </row>
    <row r="7" spans="2:6">
      <c r="B7" s="4"/>
      <c r="C7" s="5"/>
      <c r="D7" s="4"/>
      <c r="E7" s="4"/>
      <c r="F7" s="4"/>
    </row>
    <row r="8" spans="2:6">
      <c r="B8" s="6"/>
      <c r="C8" s="7"/>
      <c r="D8" s="6"/>
      <c r="E8" s="6"/>
      <c r="F8" s="6"/>
    </row>
    <row r="9" spans="2:6">
      <c r="B9" s="4"/>
      <c r="C9" s="4"/>
      <c r="D9" s="4"/>
      <c r="E9" s="4"/>
      <c r="F9" s="4"/>
    </row>
  </sheetData>
  <mergeCells count="1">
    <mergeCell ref="B1:F2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dimension ref="B1:G13"/>
  <sheetViews>
    <sheetView workbookViewId="0"/>
  </sheetViews>
  <sheetFormatPr defaultRowHeight="14.5"/>
  <cols>
    <col min="3" max="3" width="14.7265625" customWidth="1"/>
    <col min="4" max="4" width="11.26953125" customWidth="1"/>
    <col min="5" max="5" width="9.81640625" customWidth="1"/>
    <col min="7" max="7" width="0" hidden="1" customWidth="1"/>
  </cols>
  <sheetData>
    <row r="1" spans="2:7">
      <c r="B1" s="14" t="s">
        <v>17</v>
      </c>
      <c r="C1" s="13"/>
      <c r="D1" s="13"/>
      <c r="E1" s="13"/>
    </row>
    <row r="2" spans="2:7">
      <c r="B2" s="13"/>
      <c r="C2" s="13"/>
      <c r="D2" s="13"/>
      <c r="E2" s="13"/>
    </row>
    <row r="3" spans="2:7">
      <c r="B3" t="s">
        <v>15</v>
      </c>
      <c r="C3" t="s">
        <v>18</v>
      </c>
      <c r="D3" t="s">
        <v>16</v>
      </c>
      <c r="E3" t="s">
        <v>17</v>
      </c>
      <c r="G3" t="s">
        <v>15</v>
      </c>
    </row>
    <row r="4" spans="2:7">
      <c r="B4" s="4" t="s">
        <v>27</v>
      </c>
      <c r="C4" s="4">
        <f>SUMIF(Table1[[#All],[item]],Table3[[#This Row],[Item]],Table1[[#All],[Qty]])</f>
        <v>100</v>
      </c>
      <c r="D4" s="4">
        <f>SUMIF(Table4[[#All],[Item]],Table3[[#This Row],[Item]],Table4[[#All],[Qty]])</f>
        <v>0</v>
      </c>
      <c r="E4" s="4">
        <f>Table3[[#This Row],[Purchase Qty]]-Table3[[#This Row],[Sales Qty]]</f>
        <v>100</v>
      </c>
      <c r="G4" t="str">
        <f>"&lt;&gt;"</f>
        <v>&lt;&gt;</v>
      </c>
    </row>
    <row r="5" spans="2:7">
      <c r="B5" s="9" t="s">
        <v>19</v>
      </c>
      <c r="C5" s="4">
        <f>SUMIF(Table1[[#All],[item]],Table3[[#This Row],[Item]],Table1[[#All],[Qty]])</f>
        <v>23</v>
      </c>
      <c r="D5" s="4">
        <f>SUMIF(Table4[[#All],[Item]],Table3[[#This Row],[Item]],Table4[[#All],[Qty]])</f>
        <v>2</v>
      </c>
      <c r="E5" s="4">
        <f>Table3[[#This Row],[Purchase Qty]]-Table3[[#This Row],[Sales Qty]]</f>
        <v>21</v>
      </c>
    </row>
    <row r="6" spans="2:7">
      <c r="B6" s="6" t="s">
        <v>23</v>
      </c>
      <c r="C6" s="4">
        <f>SUMIF(Table1[[#All],[item]],Table3[[#This Row],[Item]],Table1[[#All],[Qty]])</f>
        <v>56</v>
      </c>
      <c r="D6" s="4">
        <f>SUMIF(Table4[[#All],[Item]],Table3[[#This Row],[Item]],Table4[[#All],[Qty]])</f>
        <v>0</v>
      </c>
      <c r="E6" s="4">
        <f>Table3[[#This Row],[Purchase Qty]]-Table3[[#This Row],[Sales Qty]]</f>
        <v>56</v>
      </c>
    </row>
    <row r="7" spans="2:7">
      <c r="B7" s="6" t="s">
        <v>22</v>
      </c>
      <c r="C7" s="4">
        <f>SUMIF(Table1[[#All],[item]],Table3[[#This Row],[Item]],Table1[[#All],[Qty]])</f>
        <v>20</v>
      </c>
      <c r="D7" s="4">
        <f>SUMIF(Table4[[#All],[Item]],Table3[[#This Row],[Item]],Table4[[#All],[Qty]])</f>
        <v>0</v>
      </c>
      <c r="E7" s="4">
        <f>Table3[[#This Row],[Purchase Qty]]-Table3[[#This Row],[Sales Qty]]</f>
        <v>20</v>
      </c>
    </row>
    <row r="8" spans="2:7">
      <c r="B8" s="6" t="s">
        <v>20</v>
      </c>
      <c r="C8" s="4">
        <f>SUMIF(Table1[[#All],[item]],Table3[[#This Row],[Item]],Table1[[#All],[Qty]])</f>
        <v>40</v>
      </c>
      <c r="D8" s="4">
        <f>SUMIF(Table4[[#All],[Item]],Table3[[#This Row],[Item]],Table4[[#All],[Qty]])</f>
        <v>0</v>
      </c>
      <c r="E8" s="4">
        <f>Table3[[#This Row],[Purchase Qty]]-Table3[[#This Row],[Sales Qty]]</f>
        <v>40</v>
      </c>
    </row>
    <row r="9" spans="2:7">
      <c r="B9" s="4"/>
      <c r="C9" s="4">
        <f>SUMIF(Table1[[#All],[item]],Table3[[#This Row],[Item]],Table1[[#All],[Qty]])</f>
        <v>0</v>
      </c>
      <c r="D9" s="4">
        <f>SUMIF(Table4[[#All],[Item]],Table3[[#This Row],[Item]],Table4[[#All],[Qty]])</f>
        <v>0</v>
      </c>
      <c r="E9" s="4">
        <f>Table3[[#This Row],[Purchase Qty]]-Table3[[#This Row],[Sales Qty]]</f>
        <v>0</v>
      </c>
    </row>
    <row r="10" spans="2:7">
      <c r="B10" s="4"/>
      <c r="C10" s="4">
        <f>SUMIF(Table1[[#All],[item]],Table3[[#This Row],[Item]],Table1[[#All],[Qty]])</f>
        <v>0</v>
      </c>
      <c r="D10" s="4">
        <f>SUMIF(Table4[[#All],[Item]],Table3[[#This Row],[Item]],Table4[[#All],[Qty]])</f>
        <v>0</v>
      </c>
      <c r="E10" s="4">
        <f>Table3[[#This Row],[Purchase Qty]]-Table3[[#This Row],[Sales Qty]]</f>
        <v>0</v>
      </c>
    </row>
    <row r="11" spans="2:7">
      <c r="B11" s="4"/>
      <c r="C11" s="4">
        <f>SUMIF(Table1[[#All],[item]],Table3[[#This Row],[Item]],Table1[[#All],[Qty]])</f>
        <v>0</v>
      </c>
      <c r="D11" s="4">
        <f>SUMIF(Table4[[#All],[Item]],Table3[[#This Row],[Item]],Table4[[#All],[Qty]])</f>
        <v>0</v>
      </c>
      <c r="E11" s="4">
        <f>Table3[[#This Row],[Purchase Qty]]-Table3[[#This Row],[Sales Qty]]</f>
        <v>0</v>
      </c>
    </row>
    <row r="12" spans="2:7">
      <c r="B12" s="4"/>
      <c r="C12" s="4">
        <f>SUMIF(Table1[[#All],[item]],Table3[[#This Row],[Item]],Table1[[#All],[Qty]])</f>
        <v>0</v>
      </c>
      <c r="D12" s="4">
        <f>SUMIF(Table4[[#All],[Item]],Table3[[#This Row],[Item]],Table4[[#All],[Qty]])</f>
        <v>0</v>
      </c>
      <c r="E12" s="4">
        <f>Table3[[#This Row],[Purchase Qty]]-Table3[[#This Row],[Sales Qty]]</f>
        <v>0</v>
      </c>
    </row>
    <row r="13" spans="2:7">
      <c r="B13" s="4"/>
      <c r="C13" s="4">
        <f>SUMIF(Table1[[#All],[item]],Table3[[#This Row],[Item]],Table1[[#All],[Qty]])</f>
        <v>0</v>
      </c>
      <c r="D13" s="4">
        <f>SUMIF(Table4[[#All],[Item]],Table3[[#This Row],[Item]],Table4[[#All],[Qty]])</f>
        <v>0</v>
      </c>
      <c r="E13" s="4">
        <f>Table3[[#This Row],[Purchase Qty]]-Table3[[#This Row],[Sales Qty]]</f>
        <v>0</v>
      </c>
    </row>
  </sheetData>
  <mergeCells count="1">
    <mergeCell ref="B1:E2"/>
  </mergeCell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Home</vt:lpstr>
      <vt:lpstr>Purchase</vt:lpstr>
      <vt:lpstr>Sale</vt:lpstr>
      <vt:lpstr>Stock</vt:lpstr>
      <vt:lpstr>Stock!Criteria</vt:lpstr>
      <vt:lpstr>Stock!Extract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yatendra soni</dc:creator>
  <cp:lastModifiedBy>Dell</cp:lastModifiedBy>
  <cp:lastPrinted>2024-04-28T00:14:01Z</cp:lastPrinted>
  <dcterms:created xsi:type="dcterms:W3CDTF">2024-04-28T00:02:04Z</dcterms:created>
  <dcterms:modified xsi:type="dcterms:W3CDTF">2024-06-06T04:01:05Z</dcterms:modified>
</cp:coreProperties>
</file>